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Data" sheetId="2" state="visible" r:id="rId2"/>
    <sheet name="F01_Sally_Smith" sheetId="3" state="visible" r:id="rId3"/>
    <sheet name="NPI_Tracker" sheetId="4" state="visible" r:id="rId4"/>
    <sheet name="FVA_Trac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;-#,##0;-"/>
    <numFmt numFmtId="166" formatCode="+#,##0;-#,##0;-"/>
    <numFmt numFmtId="167" formatCode="0.0%"/>
    <numFmt numFmtId="168" formatCode="+0.0%;-0.0%;-"/>
  </numFmts>
  <fonts count="11">
    <font>
      <name val="Calibri"/>
      <family val="2"/>
      <color theme="1"/>
      <sz val="11"/>
      <scheme val="minor"/>
    </font>
    <font>
      <name val="Malgun Gothic"/>
      <b val="1"/>
      <sz val="11"/>
    </font>
    <font>
      <name val="Malgun Gothic"/>
      <sz val="10"/>
    </font>
    <font>
      <name val="Malgun Gothic"/>
      <b val="1"/>
      <sz val="14"/>
    </font>
    <font>
      <name val="Malgun Gothic"/>
      <sz val="11"/>
    </font>
    <font>
      <name val="Malgun Gothic"/>
      <b val="1"/>
      <color rgb="00FFFFFF"/>
      <sz val="12"/>
    </font>
    <font>
      <name val="Malgun Gothic"/>
      <b val="1"/>
      <sz val="10"/>
    </font>
    <font>
      <name val="Malgun Gothic"/>
      <i val="1"/>
      <color rgb="00666666"/>
      <sz val="9"/>
    </font>
    <font>
      <name val="Malgun Gothic"/>
      <color rgb="000000FF"/>
      <sz val="10"/>
    </font>
    <font>
      <name val="Malgun Gothic"/>
      <b val="1"/>
      <color rgb="00008000"/>
      <sz val="10"/>
    </font>
    <font>
      <name val="Malgun Gothic"/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D6E5F4"/>
      </patternFill>
    </fill>
    <fill>
      <patternFill patternType="solid">
        <fgColor rgb="001F4E78"/>
      </patternFill>
    </fill>
    <fill>
      <patternFill patternType="solid">
        <fgColor rgb="00F5F5F5"/>
      </patternFill>
    </fill>
    <fill>
      <patternFill patternType="solid">
        <fgColor rgb="00EFF4FA"/>
      </patternFill>
    </fill>
    <fill>
      <patternFill patternType="solid">
        <fgColor rgb="00FFF59D"/>
      </patternFill>
    </fill>
    <fill>
      <patternFill patternType="solid">
        <fgColor rgb="00FF8A8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3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right" vertical="center"/>
    </xf>
    <xf numFmtId="0" fontId="10" fillId="0" borderId="0" pivotButton="0" quotePrefix="0" xfId="0"/>
    <xf numFmtId="0" fontId="2" fillId="0" borderId="0" pivotButton="0" quotePrefix="0" xfId="0"/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8A80"/>
        </patternFill>
      </fill>
    </dxf>
    <dxf>
      <fill>
        <patternFill patternType="solid">
          <fgColor rgb="00FFF59D"/>
        </patternFill>
      </fill>
    </dxf>
    <dxf>
      <fill>
        <patternFill patternType="solid">
          <fgColor rgb="00C5E1A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LAKA S&amp;OP 템플릿 v0</t>
        </is>
      </c>
      <c r="B1" s="2" t="inlineStr"/>
    </row>
    <row r="2">
      <c r="A2" s="3" t="inlineStr">
        <is>
          <t>작성일</t>
        </is>
      </c>
      <c r="B2" s="2" t="inlineStr">
        <is>
          <t>2026-05-11</t>
        </is>
      </c>
    </row>
    <row r="3">
      <c r="A3" s="3" t="inlineStr">
        <is>
          <t>기준 문서</t>
        </is>
      </c>
      <c r="B3" s="2" t="inlineStr">
        <is>
          <t>wiki/industry/LAKA/concepts/sop/ — 1. Data Gathering / 2. Demand Planning</t>
        </is>
      </c>
    </row>
    <row r="4">
      <c r="A4" s="3" t="inlineStr"/>
      <c r="B4" s="2" t="inlineStr"/>
    </row>
    <row r="5">
      <c r="A5" s="4" t="inlineStr">
        <is>
          <t>[목적]</t>
        </is>
      </c>
      <c r="B5" s="2" t="inlineStr"/>
    </row>
    <row r="6">
      <c r="A6" s="3" t="inlineStr"/>
      <c r="B6" s="2" t="inlineStr">
        <is>
          <t>Wallace 5-step의 Step 1·Step 2 운영을 위한 최소 작동 워크북. 1개 product family 18개월 view 데모.</t>
        </is>
      </c>
    </row>
    <row r="7">
      <c r="A7" s="3" t="inlineStr"/>
      <c r="B7" s="2" t="inlineStr">
        <is>
          <t>실데이터 투입 전 가정·구조 검증용. W7 laka_sop_v1 단계에서 확정 형태로 진화.</t>
        </is>
      </c>
    </row>
    <row r="8">
      <c r="A8" s="3" t="inlineStr"/>
      <c r="B8" s="2" t="inlineStr"/>
    </row>
    <row r="9">
      <c r="A9" s="4" t="inlineStr">
        <is>
          <t>[시트 흐름]</t>
        </is>
      </c>
      <c r="B9" s="2" t="inlineStr"/>
    </row>
    <row r="10">
      <c r="A10" s="3" t="inlineStr">
        <is>
          <t>1. README</t>
        </is>
      </c>
      <c r="B10" s="2" t="inlineStr">
        <is>
          <t>본 문서 — 사용법·가정·컬러 코드</t>
        </is>
      </c>
    </row>
    <row r="11">
      <c r="A11" s="3" t="inlineStr">
        <is>
          <t>2. Master_Data</t>
        </is>
      </c>
      <c r="B11" s="2" t="inlineStr">
        <is>
          <t>Family 정의 8개·환율 시나리오 3개·Channel 코드 8개. 모든 family 시트가 여기 참조</t>
        </is>
      </c>
    </row>
    <row r="12">
      <c r="A12" s="3" t="inlineStr">
        <is>
          <t>3. F01_Sally_Smith</t>
        </is>
      </c>
      <c r="B12" s="2" t="inlineStr">
        <is>
          <t>립글로스 컬러군 A 베스트셀러 — 3 블록(Forecast·Production·Inventory) × 4 row(Baseline·Campaign·NPI·Total) × 18개월</t>
        </is>
      </c>
    </row>
    <row r="13">
      <c r="A13" s="3" t="inlineStr">
        <is>
          <t>4. NPI_Tracker</t>
        </is>
      </c>
      <c r="B13" s="2" t="inlineStr">
        <is>
          <t>신제품 launch curve — 컬러 #208 코랄 예시, 4 채널·3 시나리오</t>
        </is>
      </c>
    </row>
    <row r="14">
      <c r="A14" s="3" t="inlineStr">
        <is>
          <t>5. FVA_Tracking</t>
        </is>
      </c>
      <c r="B14" s="2" t="inlineStr">
        <is>
          <t>Forecast Value Added 측정 — 각 layer가 baseline 대비 정확도 개선/악화 추적</t>
        </is>
      </c>
    </row>
    <row r="15">
      <c r="A15" s="3" t="inlineStr"/>
      <c r="B15" s="2" t="inlineStr"/>
    </row>
    <row r="16">
      <c r="A16" s="4" t="inlineStr">
        <is>
          <t>[Sally Smith 컬러 트래픽 라이트]</t>
        </is>
      </c>
      <c r="B16" s="2" t="inlineStr"/>
    </row>
    <row r="17">
      <c r="A17" s="3" t="inlineStr"/>
      <c r="B17" s="2" t="inlineStr">
        <is>
          <t>Difference 셀의 |val|/Total Forecast 비율 기준:</t>
        </is>
      </c>
    </row>
    <row r="18">
      <c r="A18" s="3" t="inlineStr">
        <is>
          <t>흰색 (정상)</t>
        </is>
      </c>
      <c r="B18" s="2" t="inlineStr">
        <is>
          <t>±5% 이내</t>
        </is>
      </c>
    </row>
    <row r="19">
      <c r="A19" s="3" t="inlineStr">
        <is>
          <t>노란색 (주의)</t>
        </is>
      </c>
      <c r="B19" s="2" t="inlineStr">
        <is>
          <t>±5% 초과 ~ ±10% 이내</t>
        </is>
      </c>
    </row>
    <row r="20">
      <c r="A20" s="3" t="inlineStr">
        <is>
          <t>빨간색 (경고)</t>
        </is>
      </c>
      <c r="B20" s="2" t="inlineStr">
        <is>
          <t>±10% 초과</t>
        </is>
      </c>
    </row>
    <row r="21">
      <c r="A21" s="3" t="inlineStr"/>
      <c r="B21" s="2" t="inlineStr"/>
    </row>
    <row r="22">
      <c r="A22" s="4" t="inlineStr">
        <is>
          <t>[가정 — 환율]</t>
        </is>
      </c>
      <c r="B22" s="2" t="inlineStr"/>
    </row>
    <row r="23">
      <c r="A23" s="3" t="inlineStr"/>
      <c r="B23" s="2" t="inlineStr">
        <is>
          <t>Master_Data 시트의 base/opt/pess 3개 시나리오. F01 시트는 base 환율 적용. 변경 시 Master_Data만 수정.</t>
        </is>
      </c>
    </row>
    <row r="24">
      <c r="A24" s="3" t="inlineStr"/>
      <c r="B24" s="2" t="inlineStr"/>
    </row>
    <row r="25">
      <c r="A25" s="4" t="inlineStr">
        <is>
          <t>[가정 — 단가]</t>
        </is>
      </c>
      <c r="B25" s="2" t="inlineStr"/>
    </row>
    <row r="26">
      <c r="A26" s="3" t="inlineStr"/>
      <c r="B26" s="2" t="inlineStr">
        <is>
          <t>Family별 평균 단가 (KRW) — Master_Data 시트에서 일괄 관리. F01 단가는 15,000 KRW.</t>
        </is>
      </c>
    </row>
    <row r="27">
      <c r="A27" s="3" t="inlineStr"/>
      <c r="B27" s="2" t="inlineStr"/>
    </row>
    <row r="28">
      <c r="A28" s="4" t="inlineStr">
        <is>
          <t>[가정 — 리드타임]</t>
        </is>
      </c>
      <c r="B28" s="2" t="inlineStr"/>
    </row>
    <row r="29">
      <c r="A29" s="3" t="inlineStr"/>
      <c r="B29" s="2" t="inlineStr">
        <is>
          <t>한국콜마 립글로스 기준: bulk 30-45일 + finishing 7-14일 = 총 45-60일 cumulative.</t>
        </is>
      </c>
    </row>
    <row r="30">
      <c r="A30" s="3" t="inlineStr"/>
      <c r="B30" s="2" t="inlineStr">
        <is>
          <t>Demand Time Fence(DTF) 30일·Planning Time Fence(PTF) 60일 적용.</t>
        </is>
      </c>
    </row>
    <row r="31">
      <c r="A31" s="3" t="inlineStr"/>
      <c r="B31" s="2" t="inlineStr"/>
    </row>
    <row r="32">
      <c r="A32" s="4" t="inlineStr">
        <is>
          <t>[사용 흐름 - 매월]</t>
        </is>
      </c>
      <c r="B32" s="2" t="inlineStr"/>
    </row>
    <row r="33">
      <c r="A33" s="3" t="inlineStr">
        <is>
          <t>Day 1-3 (Step 1)</t>
        </is>
      </c>
      <c r="B33" s="2" t="inlineStr">
        <is>
          <t>전월 actual 입력 (Actual Sales·Actual Production·Actual Inventory 행)</t>
        </is>
      </c>
    </row>
    <row r="34">
      <c r="A34" s="3" t="inlineStr">
        <is>
          <t>Day 4 (Step 2 시작)</t>
        </is>
      </c>
      <c r="B34" s="2" t="inlineStr">
        <is>
          <t>Statistical Baseline 갱신 (Baseline 행 update)</t>
        </is>
      </c>
    </row>
    <row r="35">
      <c r="A35" s="3" t="inlineStr">
        <is>
          <t>Day 4-5</t>
        </is>
      </c>
      <c r="B35" s="2" t="inlineStr">
        <is>
          <t>Marketing이 Campaign 행 인풋</t>
        </is>
      </c>
    </row>
    <row r="36">
      <c r="A36" s="3" t="inlineStr">
        <is>
          <t>Day 5-6</t>
        </is>
      </c>
      <c r="B36" s="2" t="inlineStr">
        <is>
          <t>Sales가 채널별 인풋 — 단순화: 현재 템플릿은 family 합산만, 채널 분해는 W7 확장</t>
        </is>
      </c>
    </row>
    <row r="37">
      <c r="A37" s="3" t="inlineStr">
        <is>
          <t>Day 6</t>
        </is>
      </c>
      <c r="B37" s="2" t="inlineStr">
        <is>
          <t>프로덕트가 NPI 행 인풋 (NPI_Tracker 시나리오와 연동)</t>
        </is>
      </c>
    </row>
    <row r="38">
      <c r="A38" s="3" t="inlineStr">
        <is>
          <t>Day 7</t>
        </is>
      </c>
      <c r="B38" s="2" t="inlineStr">
        <is>
          <t>Demand Consensus Meeting → Total Forecast 확정 → Step 3 (Supply Planning)으로 전달</t>
        </is>
      </c>
    </row>
    <row r="39">
      <c r="A39" s="3" t="inlineStr"/>
      <c r="B39" s="2" t="inlineStr"/>
    </row>
    <row r="40">
      <c r="A40" s="4" t="inlineStr">
        <is>
          <t>[제한 - v0의 한계]</t>
        </is>
      </c>
      <c r="B40" s="2" t="inlineStr"/>
    </row>
    <row r="41">
      <c r="A41" s="3" t="inlineStr"/>
      <c r="B41" s="2" t="inlineStr">
        <is>
          <t>1) 1 family만 (F01). 추후 family당 1 sheet 복제 또는 통합 view.</t>
        </is>
      </c>
    </row>
    <row r="42">
      <c r="A42" s="3" t="inlineStr"/>
      <c r="B42" s="2" t="inlineStr">
        <is>
          <t>2) 단위(units)와 KRW가 같은 시트에 표기됨. 임원 보고 시 KRW 별도 시트 분리 권장.</t>
        </is>
      </c>
    </row>
    <row r="43">
      <c r="A43" s="3" t="inlineStr"/>
      <c r="B43" s="2" t="inlineStr">
        <is>
          <t>3) Channel 분해 미포함 — Step 2 합산만 운영. 채널 분해는 Master_Schedule 영역(W4 이후).</t>
        </is>
      </c>
    </row>
    <row r="44">
      <c r="A44" s="3" t="inlineStr"/>
      <c r="B44" s="2" t="inlineStr">
        <is>
          <t>4) FVA는 3개월 누적 후 측정 시작 — 현재 워크북은 양식만 제공.</t>
        </is>
      </c>
    </row>
    <row r="45">
      <c r="A45" s="3" t="inlineStr"/>
      <c r="B45" s="2" t="inlineStr">
        <is>
          <t>5) 자동화 없음 — manual Excel. Phase 3에서 ETL·통계 SW로 확장.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5" t="inlineStr">
        <is>
          <t>Master_Data — Family·환율·Channel</t>
        </is>
      </c>
    </row>
    <row r="3">
      <c r="A3" s="6" t="inlineStr">
        <is>
          <t>Family ID</t>
        </is>
      </c>
      <c r="B3" s="6" t="inlineStr">
        <is>
          <t>명칭</t>
        </is>
      </c>
      <c r="C3" s="6" t="inlineStr">
        <is>
          <t>단위</t>
        </is>
      </c>
      <c r="D3" s="6" t="inlineStr">
        <is>
          <t>단가 (KRW)</t>
        </is>
      </c>
      <c r="E3" s="6" t="inlineStr">
        <is>
          <t>Lead Time (일)</t>
        </is>
      </c>
      <c r="F3" s="6" t="inlineStr">
        <is>
          <t>MOQ</t>
        </is>
      </c>
      <c r="G3" s="6" t="inlineStr">
        <is>
          <t>Safety Stock (일치)</t>
        </is>
      </c>
    </row>
    <row r="4">
      <c r="A4" s="7" t="inlineStr">
        <is>
          <t>F01</t>
        </is>
      </c>
      <c r="B4" s="8" t="inlineStr">
        <is>
          <t>립글로스 컬러군 A (베스트셀러)</t>
        </is>
      </c>
      <c r="C4" s="9" t="inlineStr">
        <is>
          <t>units</t>
        </is>
      </c>
      <c r="D4" s="10" t="n">
        <v>15000</v>
      </c>
      <c r="E4" s="11" t="n">
        <v>45</v>
      </c>
      <c r="F4" s="10" t="n">
        <v>5000</v>
      </c>
      <c r="G4" s="11" t="n">
        <v>30</v>
      </c>
    </row>
    <row r="5">
      <c r="A5" s="7" t="inlineStr">
        <is>
          <t>F02</t>
        </is>
      </c>
      <c r="B5" s="8" t="inlineStr">
        <is>
          <t>립글로스 컬러군 B (시즌 한정)</t>
        </is>
      </c>
      <c r="C5" s="9" t="inlineStr">
        <is>
          <t>units</t>
        </is>
      </c>
      <c r="D5" s="10" t="n">
        <v>15000</v>
      </c>
      <c r="E5" s="11" t="n">
        <v>45</v>
      </c>
      <c r="F5" s="10" t="n">
        <v>5000</v>
      </c>
      <c r="G5" s="11" t="n">
        <v>15</v>
      </c>
    </row>
    <row r="6">
      <c r="A6" s="7" t="inlineStr">
        <is>
          <t>F03</t>
        </is>
      </c>
      <c r="B6" s="8" t="inlineStr">
        <is>
          <t>립틴트</t>
        </is>
      </c>
      <c r="C6" s="9" t="inlineStr">
        <is>
          <t>units</t>
        </is>
      </c>
      <c r="D6" s="10" t="n">
        <v>14000</v>
      </c>
      <c r="E6" s="11" t="n">
        <v>50</v>
      </c>
      <c r="F6" s="10" t="n">
        <v>5000</v>
      </c>
      <c r="G6" s="11" t="n">
        <v>30</v>
      </c>
    </row>
    <row r="7">
      <c r="A7" s="7" t="inlineStr">
        <is>
          <t>F04</t>
        </is>
      </c>
      <c r="B7" s="8" t="inlineStr">
        <is>
          <t>아이섀도</t>
        </is>
      </c>
      <c r="C7" s="9" t="inlineStr">
        <is>
          <t>units</t>
        </is>
      </c>
      <c r="D7" s="10" t="n">
        <v>18000</v>
      </c>
      <c r="E7" s="11" t="n">
        <v>60</v>
      </c>
      <c r="F7" s="10" t="n">
        <v>3000</v>
      </c>
      <c r="G7" s="11" t="n">
        <v>25</v>
      </c>
    </row>
    <row r="8">
      <c r="A8" s="7" t="inlineStr">
        <is>
          <t>F05</t>
        </is>
      </c>
      <c r="B8" s="8" t="inlineStr">
        <is>
          <t>베이스 (파데·쿠션)</t>
        </is>
      </c>
      <c r="C8" s="9" t="inlineStr">
        <is>
          <t>units</t>
        </is>
      </c>
      <c r="D8" s="10" t="n">
        <v>28000</v>
      </c>
      <c r="E8" s="11" t="n">
        <v>55</v>
      </c>
      <c r="F8" s="10" t="n">
        <v>3000</v>
      </c>
      <c r="G8" s="11" t="n">
        <v>25</v>
      </c>
    </row>
    <row r="9">
      <c r="A9" s="7" t="inlineStr">
        <is>
          <t>F06</t>
        </is>
      </c>
      <c r="B9" s="8" t="inlineStr">
        <is>
          <t>선케어</t>
        </is>
      </c>
      <c r="C9" s="9" t="inlineStr">
        <is>
          <t>units</t>
        </is>
      </c>
      <c r="D9" s="10" t="n">
        <v>22000</v>
      </c>
      <c r="E9" s="11" t="n">
        <v>50</v>
      </c>
      <c r="F9" s="10" t="n">
        <v>5000</v>
      </c>
      <c r="G9" s="11" t="n">
        <v>30</v>
      </c>
    </row>
    <row r="10">
      <c r="A10" s="7" t="inlineStr">
        <is>
          <t>F07</t>
        </is>
      </c>
      <c r="B10" s="8" t="inlineStr">
        <is>
          <t>스킨케어</t>
        </is>
      </c>
      <c r="C10" s="9" t="inlineStr">
        <is>
          <t>units</t>
        </is>
      </c>
      <c r="D10" s="10" t="n">
        <v>25000</v>
      </c>
      <c r="E10" s="11" t="n">
        <v>55</v>
      </c>
      <c r="F10" s="10" t="n">
        <v>3000</v>
      </c>
      <c r="G10" s="11" t="n">
        <v>30</v>
      </c>
    </row>
    <row r="11">
      <c r="A11" s="7" t="inlineStr">
        <is>
          <t>F08</t>
        </is>
      </c>
      <c r="B11" s="8" t="inlineStr">
        <is>
          <t>글로벌 전용 SKU (FTO)</t>
        </is>
      </c>
      <c r="C11" s="9" t="inlineStr">
        <is>
          <t>units</t>
        </is>
      </c>
      <c r="D11" s="10" t="n">
        <v>16000</v>
      </c>
      <c r="E11" s="11" t="n">
        <v>30</v>
      </c>
      <c r="F11" s="10" t="n">
        <v>2000</v>
      </c>
      <c r="G11" s="11" t="n">
        <v>15</v>
      </c>
    </row>
    <row r="14" ht="22" customHeight="1">
      <c r="A14" s="5" t="inlineStr">
        <is>
          <t>환율 시나리오 (2026 base year)</t>
        </is>
      </c>
    </row>
    <row r="16">
      <c r="A16" s="6" t="inlineStr">
        <is>
          <t>Currency</t>
        </is>
      </c>
      <c r="B16" s="6" t="inlineStr">
        <is>
          <t>base</t>
        </is>
      </c>
      <c r="C16" s="6" t="inlineStr">
        <is>
          <t>optimistic</t>
        </is>
      </c>
      <c r="D16" s="6" t="inlineStr">
        <is>
          <t>pessimistic</t>
        </is>
      </c>
    </row>
    <row r="17">
      <c r="A17" s="7" t="inlineStr">
        <is>
          <t>USD/KRW</t>
        </is>
      </c>
      <c r="B17" s="12" t="n">
        <v>1350</v>
      </c>
      <c r="C17" s="12" t="n">
        <v>1280</v>
      </c>
      <c r="D17" s="12" t="n">
        <v>1450</v>
      </c>
    </row>
    <row r="18">
      <c r="A18" s="7" t="inlineStr">
        <is>
          <t>GBP/KRW</t>
        </is>
      </c>
      <c r="B18" s="12" t="n">
        <v>1700</v>
      </c>
      <c r="C18" s="12" t="n">
        <v>1620</v>
      </c>
      <c r="D18" s="12" t="n">
        <v>1820</v>
      </c>
    </row>
    <row r="19">
      <c r="A19" s="7" t="inlineStr">
        <is>
          <t>JPY/KRW</t>
        </is>
      </c>
      <c r="B19" s="12" t="n">
        <v>9</v>
      </c>
      <c r="C19" s="12" t="n">
        <v>8.5</v>
      </c>
      <c r="D19" s="12" t="n">
        <v>9.800000000000001</v>
      </c>
    </row>
    <row r="22" ht="22" customHeight="1">
      <c r="A22" s="5" t="inlineStr">
        <is>
          <t>Channel 코드</t>
        </is>
      </c>
    </row>
    <row r="24">
      <c r="A24" s="6" t="inlineStr">
        <is>
          <t>Channel ID</t>
        </is>
      </c>
      <c r="B24" s="6" t="inlineStr">
        <is>
          <t>명칭</t>
        </is>
      </c>
      <c r="C24" s="6" t="inlineStr">
        <is>
          <t>국가</t>
        </is>
      </c>
      <c r="D24" s="6" t="inlineStr">
        <is>
          <t>Type</t>
        </is>
      </c>
    </row>
    <row r="25">
      <c r="A25" s="7" t="inlineStr">
        <is>
          <t>CH-KR-RT</t>
        </is>
      </c>
      <c r="B25" s="8" t="inlineStr">
        <is>
          <t>한국 리테일 (올리브영·롭스 등)</t>
        </is>
      </c>
      <c r="C25" s="9" t="inlineStr">
        <is>
          <t>KR</t>
        </is>
      </c>
      <c r="D25" s="9" t="inlineStr">
        <is>
          <t>retail</t>
        </is>
      </c>
    </row>
    <row r="26">
      <c r="A26" s="7" t="inlineStr">
        <is>
          <t>CH-KR-OL</t>
        </is>
      </c>
      <c r="B26" s="8" t="inlineStr">
        <is>
          <t>한국 온라인 (자체몰·쿠팡·11번가)</t>
        </is>
      </c>
      <c r="C26" s="9" t="inlineStr">
        <is>
          <t>KR</t>
        </is>
      </c>
      <c r="D26" s="9" t="inlineStr">
        <is>
          <t>online</t>
        </is>
      </c>
    </row>
    <row r="27">
      <c r="A27" s="7" t="inlineStr">
        <is>
          <t>CH-JP-Q10</t>
        </is>
      </c>
      <c r="B27" s="8" t="inlineStr">
        <is>
          <t>Qoo10 일본</t>
        </is>
      </c>
      <c r="C27" s="9" t="inlineStr">
        <is>
          <t>JP</t>
        </is>
      </c>
      <c r="D27" s="9" t="inlineStr">
        <is>
          <t>online</t>
        </is>
      </c>
    </row>
    <row r="28">
      <c r="A28" s="7" t="inlineStr">
        <is>
          <t>CH-JP-LOFT</t>
        </is>
      </c>
      <c r="B28" s="8" t="inlineStr">
        <is>
          <t>일본 LOFT·로프트·도큐핸즈</t>
        </is>
      </c>
      <c r="C28" s="9" t="inlineStr">
        <is>
          <t>JP</t>
        </is>
      </c>
      <c r="D28" s="9" t="inlineStr">
        <is>
          <t>retail</t>
        </is>
      </c>
    </row>
    <row r="29">
      <c r="A29" s="7" t="inlineStr">
        <is>
          <t>CH-US-SEPH</t>
        </is>
      </c>
      <c r="B29" s="8" t="inlineStr">
        <is>
          <t>세포라 미국</t>
        </is>
      </c>
      <c r="C29" s="9" t="inlineStr">
        <is>
          <t>US</t>
        </is>
      </c>
      <c r="D29" s="9" t="inlineStr">
        <is>
          <t>retail</t>
        </is>
      </c>
    </row>
    <row r="30">
      <c r="A30" s="7" t="inlineStr">
        <is>
          <t>CH-US-AMZ</t>
        </is>
      </c>
      <c r="B30" s="8" t="inlineStr">
        <is>
          <t>아마존 미국</t>
        </is>
      </c>
      <c r="C30" s="9" t="inlineStr">
        <is>
          <t>US</t>
        </is>
      </c>
      <c r="D30" s="9" t="inlineStr">
        <is>
          <t>online</t>
        </is>
      </c>
    </row>
    <row r="31">
      <c r="A31" s="7" t="inlineStr">
        <is>
          <t>CH-UK-BOOTS</t>
        </is>
      </c>
      <c r="B31" s="8" t="inlineStr">
        <is>
          <t>Boots 영국</t>
        </is>
      </c>
      <c r="C31" s="9" t="inlineStr">
        <is>
          <t>UK</t>
        </is>
      </c>
      <c r="D31" s="9" t="inlineStr">
        <is>
          <t>retail</t>
        </is>
      </c>
    </row>
    <row r="32">
      <c r="A32" s="7" t="inlineStr">
        <is>
          <t>CH-XX-OTHER</t>
        </is>
      </c>
      <c r="B32" s="8" t="inlineStr">
        <is>
          <t>기타·신규 채널</t>
        </is>
      </c>
      <c r="C32" s="9" t="inlineStr">
        <is>
          <t>-</t>
        </is>
      </c>
      <c r="D32" s="9" t="inlineStr">
        <is>
          <t>-</t>
        </is>
      </c>
    </row>
  </sheetData>
  <mergeCells count="3">
    <mergeCell ref="A14:H14"/>
    <mergeCell ref="A22:H2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5" t="inlineStr">
        <is>
          <t>F01 — 립글로스 컬러군 A (베스트셀러)  |  Family 정보 = Master_Data!A4:G4  |  단가 = 15,000 KRW/unit</t>
        </is>
      </c>
    </row>
    <row r="3">
      <c r="A3" s="6" t="inlineStr">
        <is>
          <t>구분</t>
        </is>
      </c>
      <c r="B3" s="6" t="inlineStr">
        <is>
          <t>Nov-25</t>
        </is>
      </c>
      <c r="C3" s="6" t="inlineStr">
        <is>
          <t>Dec-25</t>
        </is>
      </c>
      <c r="D3" s="6" t="inlineStr">
        <is>
          <t>Jan-26</t>
        </is>
      </c>
      <c r="E3" s="6" t="inlineStr">
        <is>
          <t>Feb-26</t>
        </is>
      </c>
      <c r="F3" s="6" t="inlineStr">
        <is>
          <t>Mar-26</t>
        </is>
      </c>
      <c r="G3" s="6" t="inlineStr">
        <is>
          <t>Apr-26</t>
        </is>
      </c>
      <c r="H3" s="6" t="inlineStr">
        <is>
          <t>May-26</t>
        </is>
      </c>
      <c r="I3" s="6" t="inlineStr">
        <is>
          <t>Jun-26</t>
        </is>
      </c>
      <c r="J3" s="6" t="inlineStr">
        <is>
          <t>Jul-26</t>
        </is>
      </c>
      <c r="K3" s="6" t="inlineStr">
        <is>
          <t>Aug-26</t>
        </is>
      </c>
      <c r="L3" s="6" t="inlineStr">
        <is>
          <t>Sep-26</t>
        </is>
      </c>
      <c r="M3" s="6" t="inlineStr">
        <is>
          <t>Oct-26</t>
        </is>
      </c>
      <c r="N3" s="6" t="inlineStr">
        <is>
          <t>Nov-26</t>
        </is>
      </c>
      <c r="O3" s="6" t="inlineStr">
        <is>
          <t>Dec-26</t>
        </is>
      </c>
      <c r="P3" s="6" t="inlineStr">
        <is>
          <t>Jan-27</t>
        </is>
      </c>
      <c r="Q3" s="6" t="inlineStr">
        <is>
          <t>Feb-27</t>
        </is>
      </c>
      <c r="R3" s="6" t="inlineStr">
        <is>
          <t>Mar-27</t>
        </is>
      </c>
      <c r="S3" s="6" t="inlineStr">
        <is>
          <t>Apr-27</t>
        </is>
      </c>
    </row>
    <row r="4">
      <c r="A4" s="6" t="inlineStr">
        <is>
          <t>Actual 여부</t>
        </is>
      </c>
      <c r="B4" s="13" t="inlineStr">
        <is>
          <t>actual</t>
        </is>
      </c>
      <c r="C4" s="13" t="inlineStr">
        <is>
          <t>actual</t>
        </is>
      </c>
      <c r="D4" s="13" t="inlineStr">
        <is>
          <t>actual</t>
        </is>
      </c>
      <c r="E4" s="14" t="inlineStr">
        <is>
          <t>forecast</t>
        </is>
      </c>
      <c r="F4" s="14" t="inlineStr">
        <is>
          <t>forecast</t>
        </is>
      </c>
      <c r="G4" s="14" t="inlineStr">
        <is>
          <t>forecast</t>
        </is>
      </c>
      <c r="H4" s="14" t="inlineStr">
        <is>
          <t>forecast</t>
        </is>
      </c>
      <c r="I4" s="14" t="inlineStr">
        <is>
          <t>forecast</t>
        </is>
      </c>
      <c r="J4" s="14" t="inlineStr">
        <is>
          <t>forecast</t>
        </is>
      </c>
      <c r="K4" s="14" t="inlineStr">
        <is>
          <t>forecast</t>
        </is>
      </c>
      <c r="L4" s="14" t="inlineStr">
        <is>
          <t>forecast</t>
        </is>
      </c>
      <c r="M4" s="14" t="inlineStr">
        <is>
          <t>forecast</t>
        </is>
      </c>
      <c r="N4" s="14" t="inlineStr">
        <is>
          <t>forecast</t>
        </is>
      </c>
      <c r="O4" s="14" t="inlineStr">
        <is>
          <t>forecast</t>
        </is>
      </c>
      <c r="P4" s="14" t="inlineStr">
        <is>
          <t>forecast</t>
        </is>
      </c>
      <c r="Q4" s="14" t="inlineStr">
        <is>
          <t>forecast</t>
        </is>
      </c>
      <c r="R4" s="14" t="inlineStr">
        <is>
          <t>forecast</t>
        </is>
      </c>
      <c r="S4" s="14" t="inlineStr">
        <is>
          <t>forecast</t>
        </is>
      </c>
    </row>
    <row r="6" ht="22" customHeight="1">
      <c r="A6" s="5" t="inlineStr">
        <is>
          <t>블록 A — FORECAST (units, 천개)</t>
        </is>
      </c>
    </row>
    <row r="7">
      <c r="A7" s="15" t="inlineStr">
        <is>
          <t>Baseline (통계)</t>
        </is>
      </c>
      <c r="B7" s="16" t="n">
        <v>15</v>
      </c>
      <c r="C7" s="16" t="n">
        <v>14</v>
      </c>
      <c r="D7" s="16" t="n">
        <v>9</v>
      </c>
      <c r="E7" s="16" t="n">
        <v>14</v>
      </c>
      <c r="F7" s="16" t="n">
        <v>10</v>
      </c>
      <c r="G7" s="16" t="n">
        <v>10</v>
      </c>
      <c r="H7" s="16" t="n">
        <v>12</v>
      </c>
      <c r="I7" s="16" t="n">
        <v>10</v>
      </c>
      <c r="J7" s="16" t="n">
        <v>8</v>
      </c>
      <c r="K7" s="16" t="n">
        <v>8</v>
      </c>
      <c r="L7" s="16" t="n">
        <v>9</v>
      </c>
      <c r="M7" s="16" t="n">
        <v>10</v>
      </c>
      <c r="N7" s="16" t="n">
        <v>15</v>
      </c>
      <c r="O7" s="16" t="n">
        <v>14</v>
      </c>
      <c r="P7" s="16" t="n">
        <v>9</v>
      </c>
      <c r="Q7" s="16" t="n">
        <v>14</v>
      </c>
      <c r="R7" s="16" t="n">
        <v>10</v>
      </c>
      <c r="S7" s="16" t="n">
        <v>10</v>
      </c>
    </row>
    <row r="8">
      <c r="A8" s="15" t="inlineStr">
        <is>
          <t>Campaign</t>
        </is>
      </c>
      <c r="B8" s="17" t="n">
        <v>0</v>
      </c>
      <c r="C8" s="17" t="n">
        <v>0</v>
      </c>
      <c r="D8" s="17" t="n">
        <v>0</v>
      </c>
      <c r="E8" s="17" t="n">
        <v>2</v>
      </c>
      <c r="F8" s="17" t="n">
        <v>0</v>
      </c>
      <c r="G8" s="17" t="n">
        <v>0</v>
      </c>
      <c r="H8" s="17" t="n">
        <v>2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2</v>
      </c>
      <c r="R8" s="17" t="n">
        <v>0</v>
      </c>
      <c r="S8" s="17" t="n">
        <v>0</v>
      </c>
    </row>
    <row r="9">
      <c r="A9" s="15" t="inlineStr">
        <is>
          <t>NPI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1</v>
      </c>
      <c r="G9" s="17" t="n">
        <v>2</v>
      </c>
      <c r="H9" s="17" t="n">
        <v>3</v>
      </c>
      <c r="I9" s="17" t="n">
        <v>2</v>
      </c>
      <c r="J9" s="17" t="n">
        <v>1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</row>
    <row r="10">
      <c r="A10" s="18" t="inlineStr">
        <is>
          <t>Total Forecast</t>
        </is>
      </c>
      <c r="B10" s="19">
        <f>B7+B8+B9</f>
        <v/>
      </c>
      <c r="C10" s="19">
        <f>C7+C8+C9</f>
        <v/>
      </c>
      <c r="D10" s="19">
        <f>D7+D8+D9</f>
        <v/>
      </c>
      <c r="E10" s="19">
        <f>E7+E8+E9</f>
        <v/>
      </c>
      <c r="F10" s="19">
        <f>F7+F8+F9</f>
        <v/>
      </c>
      <c r="G10" s="19">
        <f>G7+G8+G9</f>
        <v/>
      </c>
      <c r="H10" s="19">
        <f>H7+H8+H9</f>
        <v/>
      </c>
      <c r="I10" s="19">
        <f>I7+I8+I9</f>
        <v/>
      </c>
      <c r="J10" s="19">
        <f>J7+J8+J9</f>
        <v/>
      </c>
      <c r="K10" s="19">
        <f>K7+K8+K9</f>
        <v/>
      </c>
      <c r="L10" s="19">
        <f>L7+L8+L9</f>
        <v/>
      </c>
      <c r="M10" s="19">
        <f>M7+M8+M9</f>
        <v/>
      </c>
      <c r="N10" s="19">
        <f>N7+N8+N9</f>
        <v/>
      </c>
      <c r="O10" s="19">
        <f>O7+O8+O9</f>
        <v/>
      </c>
      <c r="P10" s="19">
        <f>P7+P8+P9</f>
        <v/>
      </c>
      <c r="Q10" s="19">
        <f>Q7+Q8+Q9</f>
        <v/>
      </c>
      <c r="R10" s="19">
        <f>R7+R8+R9</f>
        <v/>
      </c>
      <c r="S10" s="19">
        <f>S7+S8+S9</f>
        <v/>
      </c>
    </row>
    <row r="11">
      <c r="A11" s="15" t="inlineStr">
        <is>
          <t>Actual Sales</t>
        </is>
      </c>
      <c r="B11" s="16" t="n">
        <v>14</v>
      </c>
      <c r="C11" s="16" t="n">
        <v>13</v>
      </c>
      <c r="D11" s="16" t="n">
        <v>8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</row>
    <row r="12">
      <c r="A12" s="8" t="inlineStr">
        <is>
          <t>Difference (Actual − FCST)</t>
        </is>
      </c>
      <c r="B12" s="20">
        <f>B11-B10</f>
        <v/>
      </c>
      <c r="C12" s="20">
        <f>C11-C10</f>
        <v/>
      </c>
      <c r="D12" s="20">
        <f>D11-D10</f>
        <v/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</row>
    <row r="13">
      <c r="A13" s="8" t="inlineStr">
        <is>
          <t>Cum Difference</t>
        </is>
      </c>
      <c r="B13" s="20">
        <f>B12</f>
        <v/>
      </c>
      <c r="C13" s="20">
        <f>B13+C12</f>
        <v/>
      </c>
      <c r="D13" s="20">
        <f>C13+D12</f>
        <v/>
      </c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</row>
    <row r="15" ht="22" customHeight="1">
      <c r="A15" s="5" t="inlineStr">
        <is>
          <t>블록 B — PRODUCTION (units, 천개) | 한국콜마 입고</t>
        </is>
      </c>
    </row>
    <row r="16">
      <c r="A16" s="15" t="inlineStr">
        <is>
          <t>Planned Production</t>
        </is>
      </c>
      <c r="B16" s="16" t="n">
        <v>10</v>
      </c>
      <c r="C16" s="16" t="n">
        <v>12</v>
      </c>
      <c r="D16" s="16" t="n">
        <v>11</v>
      </c>
      <c r="E16" s="16" t="n">
        <v>12</v>
      </c>
      <c r="F16" s="16" t="n">
        <v>12</v>
      </c>
      <c r="G16" s="16" t="n">
        <v>12</v>
      </c>
      <c r="H16" s="16" t="n">
        <v>13</v>
      </c>
      <c r="I16" s="16" t="n">
        <v>11</v>
      </c>
      <c r="J16" s="16" t="n">
        <v>9</v>
      </c>
      <c r="K16" s="16" t="n">
        <v>9</v>
      </c>
      <c r="L16" s="16" t="n">
        <v>10</v>
      </c>
      <c r="M16" s="16" t="n">
        <v>11</v>
      </c>
      <c r="N16" s="16" t="n">
        <v>16</v>
      </c>
      <c r="O16" s="16" t="n">
        <v>15</v>
      </c>
      <c r="P16" s="16" t="n">
        <v>10</v>
      </c>
      <c r="Q16" s="16" t="n">
        <v>15</v>
      </c>
      <c r="R16" s="16" t="n">
        <v>11</v>
      </c>
      <c r="S16" s="16" t="n">
        <v>11</v>
      </c>
    </row>
    <row r="17">
      <c r="A17" s="15" t="inlineStr">
        <is>
          <t>Actual Production</t>
        </is>
      </c>
      <c r="B17" s="16" t="n">
        <v>10</v>
      </c>
      <c r="C17" s="16" t="n">
        <v>13</v>
      </c>
      <c r="D17" s="16" t="n">
        <v>11</v>
      </c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</row>
    <row r="18">
      <c r="A18" s="8" t="inlineStr">
        <is>
          <t>Difference (Actual − Plan)</t>
        </is>
      </c>
      <c r="B18" s="20">
        <f>B17-B16</f>
        <v/>
      </c>
      <c r="C18" s="20">
        <f>C17-C16</f>
        <v/>
      </c>
      <c r="D18" s="20">
        <f>D17-D16</f>
        <v/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</row>
    <row r="19">
      <c r="A19" s="8" t="inlineStr">
        <is>
          <t>Cum Difference</t>
        </is>
      </c>
      <c r="B19" s="20">
        <f>B18</f>
        <v/>
      </c>
      <c r="C19" s="20">
        <f>B19+C18</f>
        <v/>
      </c>
      <c r="D19" s="20">
        <f>C19+D18</f>
        <v/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</row>
    <row r="21" ht="22" customHeight="1">
      <c r="A21" s="5" t="inlineStr">
        <is>
          <t>블록 C — INVENTORY (units, 천개) | 목표 1개월 supply</t>
        </is>
      </c>
    </row>
    <row r="22">
      <c r="A22" s="15" t="inlineStr">
        <is>
          <t>Planned Inventory</t>
        </is>
      </c>
      <c r="B22" s="16" t="n">
        <v>12</v>
      </c>
      <c r="C22" s="16" t="n">
        <v>12</v>
      </c>
      <c r="D22" s="16" t="n">
        <v>12</v>
      </c>
      <c r="E22" s="16" t="n">
        <v>14</v>
      </c>
      <c r="F22" s="16" t="n">
        <v>11</v>
      </c>
      <c r="G22" s="16" t="n">
        <v>13</v>
      </c>
      <c r="H22" s="16" t="n">
        <v>14</v>
      </c>
      <c r="I22" s="16" t="n">
        <v>15</v>
      </c>
      <c r="J22" s="16" t="n">
        <v>12</v>
      </c>
      <c r="K22" s="16" t="n">
        <v>11</v>
      </c>
      <c r="L22" s="16" t="n">
        <v>12</v>
      </c>
      <c r="M22" s="16" t="n">
        <v>13</v>
      </c>
      <c r="N22" s="16" t="n">
        <v>18</v>
      </c>
      <c r="O22" s="16" t="n">
        <v>18</v>
      </c>
      <c r="P22" s="16" t="n">
        <v>12</v>
      </c>
      <c r="Q22" s="16" t="n">
        <v>13</v>
      </c>
      <c r="R22" s="16" t="n">
        <v>12</v>
      </c>
      <c r="S22" s="16" t="n">
        <v>12</v>
      </c>
    </row>
    <row r="23">
      <c r="A23" s="15" t="inlineStr">
        <is>
          <t>Actual Inventory</t>
        </is>
      </c>
      <c r="B23" s="16" t="n">
        <v>14</v>
      </c>
      <c r="C23" s="16" t="n">
        <v>14</v>
      </c>
      <c r="D23" s="16" t="n">
        <v>17</v>
      </c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</row>
    <row r="24">
      <c r="A24" s="8" t="inlineStr">
        <is>
          <t>Difference (Actual − Plan)</t>
        </is>
      </c>
      <c r="B24" s="20">
        <f>B23-B22</f>
        <v/>
      </c>
      <c r="C24" s="20">
        <f>C23-C22</f>
        <v/>
      </c>
      <c r="D24" s="20">
        <f>D23-D22</f>
        <v/>
      </c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</row>
    <row r="26" ht="22" customHeight="1">
      <c r="A26" s="5" t="inlineStr">
        <is>
          <t>블록 D — Revenue 환산 (KRW, 백만원) | 단가 = Master_Data!D4 = 15,000 KRW</t>
        </is>
      </c>
    </row>
    <row r="27">
      <c r="A27" s="18" t="inlineStr">
        <is>
          <t>Total Revenue (백만 KRW)</t>
        </is>
      </c>
      <c r="B27" s="22">
        <f>B10*Master_Data!$D$4/1000</f>
        <v/>
      </c>
      <c r="C27" s="22">
        <f>C10*Master_Data!$D$4/1000</f>
        <v/>
      </c>
      <c r="D27" s="22">
        <f>D10*Master_Data!$D$4/1000</f>
        <v/>
      </c>
      <c r="E27" s="22">
        <f>E10*Master_Data!$D$4/1000</f>
        <v/>
      </c>
      <c r="F27" s="22">
        <f>F10*Master_Data!$D$4/1000</f>
        <v/>
      </c>
      <c r="G27" s="22">
        <f>G10*Master_Data!$D$4/1000</f>
        <v/>
      </c>
      <c r="H27" s="22">
        <f>H10*Master_Data!$D$4/1000</f>
        <v/>
      </c>
      <c r="I27" s="22">
        <f>I10*Master_Data!$D$4/1000</f>
        <v/>
      </c>
      <c r="J27" s="22">
        <f>J10*Master_Data!$D$4/1000</f>
        <v/>
      </c>
      <c r="K27" s="22">
        <f>K10*Master_Data!$D$4/1000</f>
        <v/>
      </c>
      <c r="L27" s="22">
        <f>L10*Master_Data!$D$4/1000</f>
        <v/>
      </c>
      <c r="M27" s="22">
        <f>M10*Master_Data!$D$4/1000</f>
        <v/>
      </c>
      <c r="N27" s="22">
        <f>N10*Master_Data!$D$4/1000</f>
        <v/>
      </c>
      <c r="O27" s="22">
        <f>O10*Master_Data!$D$4/1000</f>
        <v/>
      </c>
      <c r="P27" s="22">
        <f>P10*Master_Data!$D$4/1000</f>
        <v/>
      </c>
      <c r="Q27" s="22">
        <f>Q10*Master_Data!$D$4/1000</f>
        <v/>
      </c>
      <c r="R27" s="22">
        <f>R10*Master_Data!$D$4/1000</f>
        <v/>
      </c>
      <c r="S27" s="22">
        <f>S10*Master_Data!$D$4/1000</f>
        <v/>
      </c>
    </row>
    <row r="28">
      <c r="A28" s="23" t="inlineStr">
        <is>
          <t>참고: Total Forecast(천 units) × 단가(KRW) ÷ 1,000 = 백만 KRW</t>
        </is>
      </c>
    </row>
    <row r="30" ht="22" customHeight="1">
      <c r="A30" s="5" t="inlineStr">
        <is>
          <t>트래픽 라이트 범례</t>
        </is>
      </c>
    </row>
    <row r="31">
      <c r="A31" s="9" t="inlineStr">
        <is>
          <t>흰색</t>
        </is>
      </c>
      <c r="B31" s="8" t="inlineStr">
        <is>
          <t>|Difference| ÷ Total ≤ 5%</t>
        </is>
      </c>
    </row>
    <row r="32">
      <c r="A32" s="24" t="inlineStr">
        <is>
          <t>노란색</t>
        </is>
      </c>
      <c r="B32" s="8" t="inlineStr">
        <is>
          <t>5% &lt; |Difference| ÷ Total ≤ 10%</t>
        </is>
      </c>
    </row>
    <row r="33">
      <c r="A33" s="25" t="inlineStr">
        <is>
          <t>빨간색</t>
        </is>
      </c>
      <c r="B33" s="8" t="inlineStr">
        <is>
          <t>|Difference| ÷ Total &gt; 10%</t>
        </is>
      </c>
    </row>
  </sheetData>
  <mergeCells count="6">
    <mergeCell ref="A6:S6"/>
    <mergeCell ref="A1:S1"/>
    <mergeCell ref="A30:D30"/>
    <mergeCell ref="A21:S21"/>
    <mergeCell ref="A26:S26"/>
    <mergeCell ref="A15:S15"/>
  </mergeCells>
  <conditionalFormatting sqref="B12:S12">
    <cfRule type="expression" priority="1" dxfId="0">
      <formula>AND(B12&lt;&gt;"",ABS(B12)&gt;0.10*B10)</formula>
    </cfRule>
    <cfRule type="expression" priority="2" dxfId="1">
      <formula>AND(B12&lt;&gt;"",ABS(B12)&gt;0.05*B10,ABS(B12)&lt;=0.10*B10)</formula>
    </cfRule>
  </conditionalFormatting>
  <conditionalFormatting sqref="B18:S18">
    <cfRule type="expression" priority="3" dxfId="0">
      <formula>AND(B18&lt;&gt;"",ABS(B18)&gt;0.10*B16)</formula>
    </cfRule>
    <cfRule type="expression" priority="4" dxfId="1">
      <formula>AND(B18&lt;&gt;"",ABS(B18)&gt;0.05*B16,ABS(B18)&lt;=0.10*B16)</formula>
    </cfRule>
  </conditionalFormatting>
  <conditionalFormatting sqref="B24:S24">
    <cfRule type="expression" priority="5" dxfId="0">
      <formula>AND(B24&lt;&gt;"",ABS(B24)&gt;0.10*B22)</formula>
    </cfRule>
    <cfRule type="expression" priority="6" dxfId="1">
      <formula>AND(B24&lt;&gt;"",ABS(B24)&gt;0.05*B22,ABS(B24)&lt;=0.10*B22)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5" t="inlineStr">
        <is>
          <t>NPI Tracker — 신제품 launch curve 양식 (예시: 컬러 #208 코랄, F01 합류)</t>
        </is>
      </c>
    </row>
    <row r="3">
      <c r="A3" s="6" t="inlineStr">
        <is>
          <t>항목</t>
        </is>
      </c>
      <c r="B3" s="6" t="inlineStr">
        <is>
          <t>값</t>
        </is>
      </c>
    </row>
    <row r="4">
      <c r="A4" s="15" t="inlineStr">
        <is>
          <t>신제품 ID</t>
        </is>
      </c>
      <c r="B4" s="26" t="inlineStr">
        <is>
          <t>LK-LG-208</t>
        </is>
      </c>
    </row>
    <row r="5">
      <c r="A5" s="15" t="inlineStr">
        <is>
          <t>신제품 이름</t>
        </is>
      </c>
      <c r="B5" s="26" t="inlineStr">
        <is>
          <t>립글로스 #208 코랄</t>
        </is>
      </c>
    </row>
    <row r="6">
      <c r="A6" s="15" t="inlineStr">
        <is>
          <t>Family</t>
        </is>
      </c>
      <c r="B6" s="26" t="inlineStr">
        <is>
          <t>F01 (베스트셀러 합류)</t>
        </is>
      </c>
    </row>
    <row r="7">
      <c r="A7" s="15" t="inlineStr">
        <is>
          <t>Launch 일자 (한국)</t>
        </is>
      </c>
      <c r="B7" s="26" t="inlineStr">
        <is>
          <t>2026-03-15</t>
        </is>
      </c>
    </row>
    <row r="8">
      <c r="A8" s="15" t="inlineStr">
        <is>
          <t>Launch 일자 (Qoo10 JP)</t>
        </is>
      </c>
      <c r="B8" s="26" t="inlineStr">
        <is>
          <t>2026-04-01</t>
        </is>
      </c>
    </row>
    <row r="9">
      <c r="A9" s="15" t="inlineStr">
        <is>
          <t>Launch 일자 (세포라 US)</t>
        </is>
      </c>
      <c r="B9" s="26" t="inlineStr">
        <is>
          <t>2026-05-15</t>
        </is>
      </c>
    </row>
    <row r="10">
      <c r="A10" s="15" t="inlineStr">
        <is>
          <t>Launch 일자 (Boots UK)</t>
        </is>
      </c>
      <c r="B10" s="26" t="inlineStr">
        <is>
          <t>2026-06-01</t>
        </is>
      </c>
    </row>
    <row r="12" ht="22" customHeight="1">
      <c r="A12" s="5" t="inlineStr">
        <is>
          <t>Pipeline Fill (one-time, 천개)</t>
        </is>
      </c>
    </row>
    <row r="13">
      <c r="A13" s="6" t="inlineStr">
        <is>
          <t>채널</t>
        </is>
      </c>
      <c r="B13" s="6" t="inlineStr">
        <is>
          <t>Fill units (천개)</t>
        </is>
      </c>
    </row>
    <row r="14">
      <c r="A14" s="8" t="inlineStr">
        <is>
          <t>CH-KR-RT + CH-KR-OL</t>
        </is>
      </c>
      <c r="B14" s="16" t="n">
        <v>3</v>
      </c>
    </row>
    <row r="15">
      <c r="A15" s="8" t="inlineStr">
        <is>
          <t>CH-JP-Q10</t>
        </is>
      </c>
      <c r="B15" s="16" t="n">
        <v>1</v>
      </c>
    </row>
    <row r="16">
      <c r="A16" s="8" t="inlineStr">
        <is>
          <t>CH-US-SEPH</t>
        </is>
      </c>
      <c r="B16" s="16" t="n">
        <v>2</v>
      </c>
    </row>
    <row r="17">
      <c r="A17" s="8" t="inlineStr">
        <is>
          <t>CH-UK-BOOTS</t>
        </is>
      </c>
      <c r="B17" s="16" t="n">
        <v>1</v>
      </c>
    </row>
    <row r="18">
      <c r="A18" s="18" t="inlineStr">
        <is>
          <t>Pipeline Fill 합계</t>
        </is>
      </c>
      <c r="B18" s="19" t="inlineStr"/>
    </row>
    <row r="20" ht="22" customHeight="1">
      <c r="A20" s="5" t="inlineStr">
        <is>
          <t>Run-in Curve — 3 시나리오 (units, 천개)</t>
        </is>
      </c>
    </row>
    <row r="21">
      <c r="A21" s="6" t="inlineStr">
        <is>
          <t>주차 구간</t>
        </is>
      </c>
      <c r="B21" s="6" t="inlineStr">
        <is>
          <t>base</t>
        </is>
      </c>
      <c r="C21" s="6" t="inlineStr">
        <is>
          <t>optimistic</t>
        </is>
      </c>
      <c r="D21" s="6" t="inlineStr">
        <is>
          <t>pessimistic</t>
        </is>
      </c>
      <c r="E21" s="6" t="inlineStr">
        <is>
          <t>설명</t>
        </is>
      </c>
    </row>
    <row r="22">
      <c r="A22" s="8" t="inlineStr">
        <is>
          <t>주차 1-2 (Fill, 합계)</t>
        </is>
      </c>
      <c r="B22" s="27" t="n">
        <v>7</v>
      </c>
      <c r="C22" s="27" t="n">
        <v>10</v>
      </c>
      <c r="D22" s="27" t="n">
        <v>5</v>
      </c>
      <c r="E22" s="28" t="inlineStr">
        <is>
          <t>채널 초기 입점, 평소 4-6주분 일시 출하</t>
        </is>
      </c>
    </row>
    <row r="23">
      <c r="A23" s="8" t="inlineStr">
        <is>
          <t>주차 3-8 (Run-in, 주당)</t>
        </is>
      </c>
      <c r="B23" s="27" t="n">
        <v>4</v>
      </c>
      <c r="C23" s="27" t="n">
        <v>6</v>
      </c>
      <c r="D23" s="27" t="n">
        <v>2</v>
      </c>
      <c r="E23" s="28" t="inlineStr">
        <is>
          <t>실제 sell-through 형성, 마케팅 집중</t>
        </is>
      </c>
    </row>
    <row r="24">
      <c r="A24" s="8" t="inlineStr">
        <is>
          <t>주차 9-12 (Peak, 주당)</t>
        </is>
      </c>
      <c r="B24" s="27" t="n">
        <v>6</v>
      </c>
      <c r="C24" s="27" t="n">
        <v>9</v>
      </c>
      <c r="D24" s="27" t="n">
        <v>3</v>
      </c>
      <c r="E24" s="28" t="inlineStr">
        <is>
          <t>최고 출하량 (성공 시)</t>
        </is>
      </c>
    </row>
    <row r="25">
      <c r="A25" s="8" t="inlineStr">
        <is>
          <t>주차 13-26 (정상화, 주당)</t>
        </is>
      </c>
      <c r="B25" s="27" t="n">
        <v>3</v>
      </c>
      <c r="C25" s="27" t="n">
        <v>5</v>
      </c>
      <c r="D25" s="27" t="n">
        <v>1.5</v>
      </c>
      <c r="E25" s="28" t="inlineStr">
        <is>
          <t>베이스라인 형성</t>
        </is>
      </c>
    </row>
    <row r="26">
      <c r="A26" s="8" t="inlineStr">
        <is>
          <t>주차 27+ (Long-tail, family 평균 대비)</t>
        </is>
      </c>
      <c r="B26" s="29" t="inlineStr">
        <is>
          <t>12%</t>
        </is>
      </c>
      <c r="C26" s="29" t="inlineStr">
        <is>
          <t>18%</t>
        </is>
      </c>
      <c r="D26" s="29" t="inlineStr">
        <is>
          <t>8%</t>
        </is>
      </c>
      <c r="E26" s="28" t="inlineStr">
        <is>
          <t>장기 baseline 합류</t>
        </is>
      </c>
    </row>
    <row r="28" ht="22" customHeight="1">
      <c r="A28" s="5" t="inlineStr">
        <is>
          <t>Cannibalization (기존 SKU 잠식 추정)</t>
        </is>
      </c>
    </row>
    <row r="29">
      <c r="A29" s="6" t="inlineStr">
        <is>
          <t>잠식 대상</t>
        </is>
      </c>
      <c r="B29" s="6" t="inlineStr">
        <is>
          <t>잠식률 (base)</t>
        </is>
      </c>
      <c r="C29" s="6" t="inlineStr">
        <is>
          <t>잠식률 (worst)</t>
        </is>
      </c>
    </row>
    <row r="30">
      <c r="A30" s="8" t="inlineStr">
        <is>
          <t>F01 베스트셀러 평균</t>
        </is>
      </c>
      <c r="B30" s="30" t="n">
        <v>0.08</v>
      </c>
      <c r="C30" s="30" t="n">
        <v>0.15</v>
      </c>
    </row>
    <row r="32">
      <c r="A32" s="31" t="inlineStr">
        <is>
          <t>※ NPI 인풋 → F01_Sally_Smith의 NPI 행에 base 시나리오 반영. worst는 hedge 재고 검토용 (Step 3).</t>
        </is>
      </c>
    </row>
  </sheetData>
  <mergeCells count="4">
    <mergeCell ref="A20:E20"/>
    <mergeCell ref="A1:E1"/>
    <mergeCell ref="A28:E28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 ht="22" customHeight="1">
      <c r="A1" s="5" t="inlineStr">
        <is>
          <t>FVA Tracking — 각 layer가 baseline 대비 정확도 개선/악화 측정</t>
        </is>
      </c>
    </row>
    <row r="3">
      <c r="A3" s="15" t="inlineStr">
        <is>
          <t>측정 방법:</t>
        </is>
      </c>
    </row>
    <row r="4">
      <c r="A4" s="32" t="inlineStr">
        <is>
          <t>• APE (Absolute Percentage Error) = |Forecast − Actual| ÷ Actual</t>
        </is>
      </c>
    </row>
    <row r="5">
      <c r="A5" s="32" t="inlineStr">
        <is>
          <t>• FVA = Baseline APE − Layer APE  (양수 = 개선 / 음수 = 악화)</t>
        </is>
      </c>
    </row>
    <row r="6">
      <c r="A6" s="32" t="inlineStr">
        <is>
          <t>• 3개월 누적 후 MAPE_3mo로 안정성 평가. Sales adjustment 음수 FVA 지속 시 교육·가중치 조정.</t>
        </is>
      </c>
    </row>
    <row r="8">
      <c r="A8" s="6" t="inlineStr">
        <is>
          <t>Family</t>
        </is>
      </c>
      <c r="B8" s="6" t="inlineStr">
        <is>
          <t>Month</t>
        </is>
      </c>
      <c r="C8" s="6" t="inlineStr">
        <is>
          <t>Layer</t>
        </is>
      </c>
      <c r="D8" s="6" t="inlineStr">
        <is>
          <t>Forecast</t>
        </is>
      </c>
      <c r="E8" s="6" t="inlineStr">
        <is>
          <t>Actual</t>
        </is>
      </c>
      <c r="F8" s="6" t="inlineStr">
        <is>
          <t>APE</t>
        </is>
      </c>
      <c r="G8" s="6" t="inlineStr">
        <is>
          <t>MAPE_3mo</t>
        </is>
      </c>
      <c r="H8" s="6" t="inlineStr">
        <is>
          <t>FVA vs Baseline</t>
        </is>
      </c>
    </row>
    <row r="9">
      <c r="A9" s="9" t="inlineStr">
        <is>
          <t>F01</t>
        </is>
      </c>
      <c r="B9" s="9" t="inlineStr">
        <is>
          <t>2025-11</t>
        </is>
      </c>
      <c r="C9" s="8" t="inlineStr">
        <is>
          <t>1. Baseline</t>
        </is>
      </c>
      <c r="D9" s="16" t="n">
        <v>15</v>
      </c>
      <c r="E9" s="16" t="n">
        <v>14</v>
      </c>
      <c r="F9" s="33" t="inlineStr"/>
      <c r="G9" s="33" t="n"/>
      <c r="H9" s="34" t="inlineStr"/>
    </row>
    <row r="10">
      <c r="A10" s="9" t="inlineStr">
        <is>
          <t>F01</t>
        </is>
      </c>
      <c r="B10" s="9" t="inlineStr">
        <is>
          <t>2025-11</t>
        </is>
      </c>
      <c r="C10" s="8" t="inlineStr">
        <is>
          <t>2. + Marketing</t>
        </is>
      </c>
      <c r="D10" s="16" t="n">
        <v>15</v>
      </c>
      <c r="E10" s="16" t="n">
        <v>14</v>
      </c>
      <c r="F10" s="33" t="inlineStr"/>
      <c r="G10" s="33" t="n"/>
      <c r="H10" s="34" t="inlineStr"/>
    </row>
    <row r="11">
      <c r="A11" s="9" t="inlineStr">
        <is>
          <t>F01</t>
        </is>
      </c>
      <c r="B11" s="9" t="inlineStr">
        <is>
          <t>2025-11</t>
        </is>
      </c>
      <c r="C11" s="8" t="inlineStr">
        <is>
          <t>3. + Sales</t>
        </is>
      </c>
      <c r="D11" s="16" t="n">
        <v>16</v>
      </c>
      <c r="E11" s="16" t="n">
        <v>14</v>
      </c>
      <c r="F11" s="33" t="inlineStr"/>
      <c r="G11" s="33" t="n"/>
      <c r="H11" s="34" t="inlineStr"/>
    </row>
    <row r="12">
      <c r="A12" s="9" t="inlineStr">
        <is>
          <t>F01</t>
        </is>
      </c>
      <c r="B12" s="9" t="inlineStr">
        <is>
          <t>2025-11</t>
        </is>
      </c>
      <c r="C12" s="8" t="inlineStr">
        <is>
          <t>4. Consensus</t>
        </is>
      </c>
      <c r="D12" s="16" t="n">
        <v>15</v>
      </c>
      <c r="E12" s="16" t="n">
        <v>14</v>
      </c>
      <c r="F12" s="33" t="inlineStr"/>
      <c r="G12" s="33" t="n"/>
      <c r="H12" s="34" t="inlineStr"/>
    </row>
    <row r="13">
      <c r="A13" s="9" t="inlineStr">
        <is>
          <t>F01</t>
        </is>
      </c>
      <c r="B13" s="9" t="inlineStr">
        <is>
          <t>2025-12</t>
        </is>
      </c>
      <c r="C13" s="8" t="inlineStr">
        <is>
          <t>1. Baseline</t>
        </is>
      </c>
      <c r="D13" s="16" t="n">
        <v>14</v>
      </c>
      <c r="E13" s="16" t="n">
        <v>13</v>
      </c>
      <c r="F13" s="33" t="inlineStr"/>
      <c r="G13" s="33" t="n"/>
      <c r="H13" s="34" t="inlineStr"/>
    </row>
    <row r="14">
      <c r="A14" s="9" t="inlineStr">
        <is>
          <t>F01</t>
        </is>
      </c>
      <c r="B14" s="9" t="inlineStr">
        <is>
          <t>2025-12</t>
        </is>
      </c>
      <c r="C14" s="8" t="inlineStr">
        <is>
          <t>2. + Marketing</t>
        </is>
      </c>
      <c r="D14" s="16" t="n">
        <v>14</v>
      </c>
      <c r="E14" s="16" t="n">
        <v>13</v>
      </c>
      <c r="F14" s="33" t="inlineStr"/>
      <c r="G14" s="33" t="n"/>
      <c r="H14" s="34" t="inlineStr"/>
    </row>
    <row r="15">
      <c r="A15" s="9" t="inlineStr">
        <is>
          <t>F01</t>
        </is>
      </c>
      <c r="B15" s="9" t="inlineStr">
        <is>
          <t>2025-12</t>
        </is>
      </c>
      <c r="C15" s="8" t="inlineStr">
        <is>
          <t>3. + Sales</t>
        </is>
      </c>
      <c r="D15" s="16" t="n">
        <v>15</v>
      </c>
      <c r="E15" s="16" t="n">
        <v>13</v>
      </c>
      <c r="F15" s="33" t="inlineStr"/>
      <c r="G15" s="33" t="n"/>
      <c r="H15" s="34" t="inlineStr"/>
    </row>
    <row r="16">
      <c r="A16" s="9" t="inlineStr">
        <is>
          <t>F01</t>
        </is>
      </c>
      <c r="B16" s="9" t="inlineStr">
        <is>
          <t>2025-12</t>
        </is>
      </c>
      <c r="C16" s="8" t="inlineStr">
        <is>
          <t>4. Consensus</t>
        </is>
      </c>
      <c r="D16" s="16" t="n">
        <v>14</v>
      </c>
      <c r="E16" s="16" t="n">
        <v>13</v>
      </c>
      <c r="F16" s="33" t="inlineStr"/>
      <c r="G16" s="33" t="n"/>
      <c r="H16" s="34" t="inlineStr"/>
    </row>
    <row r="17">
      <c r="A17" s="9" t="inlineStr">
        <is>
          <t>F01</t>
        </is>
      </c>
      <c r="B17" s="9" t="inlineStr">
        <is>
          <t>2026-01</t>
        </is>
      </c>
      <c r="C17" s="8" t="inlineStr">
        <is>
          <t>1. Baseline</t>
        </is>
      </c>
      <c r="D17" s="16" t="n">
        <v>9</v>
      </c>
      <c r="E17" s="16" t="n">
        <v>8</v>
      </c>
      <c r="F17" s="33" t="inlineStr"/>
      <c r="G17" s="33" t="inlineStr"/>
      <c r="H17" s="34" t="inlineStr"/>
    </row>
    <row r="18">
      <c r="A18" s="9" t="inlineStr">
        <is>
          <t>F01</t>
        </is>
      </c>
      <c r="B18" s="9" t="inlineStr">
        <is>
          <t>2026-01</t>
        </is>
      </c>
      <c r="C18" s="8" t="inlineStr">
        <is>
          <t>2. + Marketing</t>
        </is>
      </c>
      <c r="D18" s="16" t="n">
        <v>9</v>
      </c>
      <c r="E18" s="16" t="n">
        <v>8</v>
      </c>
      <c r="F18" s="33" t="inlineStr"/>
      <c r="G18" s="33" t="inlineStr"/>
      <c r="H18" s="34" t="inlineStr"/>
    </row>
    <row r="19">
      <c r="A19" s="9" t="inlineStr">
        <is>
          <t>F01</t>
        </is>
      </c>
      <c r="B19" s="9" t="inlineStr">
        <is>
          <t>2026-01</t>
        </is>
      </c>
      <c r="C19" s="8" t="inlineStr">
        <is>
          <t>3. + Sales</t>
        </is>
      </c>
      <c r="D19" s="16" t="n">
        <v>10</v>
      </c>
      <c r="E19" s="16" t="n">
        <v>8</v>
      </c>
      <c r="F19" s="33" t="inlineStr"/>
      <c r="G19" s="33" t="inlineStr"/>
      <c r="H19" s="34" t="inlineStr"/>
    </row>
    <row r="20">
      <c r="A20" s="9" t="inlineStr">
        <is>
          <t>F01</t>
        </is>
      </c>
      <c r="B20" s="9" t="inlineStr">
        <is>
          <t>2026-01</t>
        </is>
      </c>
      <c r="C20" s="8" t="inlineStr">
        <is>
          <t>4. Consensus</t>
        </is>
      </c>
      <c r="D20" s="16" t="n">
        <v>9</v>
      </c>
      <c r="E20" s="16" t="n">
        <v>8</v>
      </c>
      <c r="F20" s="33" t="inlineStr"/>
      <c r="G20" s="33" t="inlineStr"/>
      <c r="H20" s="34" t="inlineStr"/>
    </row>
    <row r="23">
      <c r="A23" s="35" t="inlineStr">
        <is>
          <t>해석 가이드:</t>
        </is>
      </c>
    </row>
    <row r="24">
      <c r="A24" s="32" t="inlineStr">
        <is>
          <t>• FVA 양수 = 그 layer가 baseline보다 정확도 개선 (forecast가 actual에 더 가까움)</t>
        </is>
      </c>
    </row>
    <row r="25">
      <c r="A25" s="32" t="inlineStr">
        <is>
          <t>• FVA 음수 = 그 layer가 baseline보다 악화 (예: Sales가 과대 예측해 정확도 떨어뜨림)</t>
        </is>
      </c>
    </row>
    <row r="26">
      <c r="A26" s="32" t="inlineStr">
        <is>
          <t>• 위 예시는 'Sales' layer가 일관 음수 FVA → 단기 과대예측 패턴 의심 (Implement Ch4 경고)</t>
        </is>
      </c>
    </row>
    <row r="27">
      <c r="A27" s="32" t="inlineStr">
        <is>
          <t>• 대응: Sales 인풋에서 baseline·campaign 분리 강제, 분기 회고에서 layer별 누적 FVA 검토</t>
        </is>
      </c>
    </row>
  </sheetData>
  <mergeCells count="1">
    <mergeCell ref="A1:H1"/>
  </mergeCells>
  <conditionalFormatting sqref="H9:H20">
    <cfRule type="cellIs" priority="1" operator="lessThan" dxfId="0">
      <formula>0</formula>
    </cfRule>
    <cfRule type="cellIs" priority="2" operator="greaterThan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2026-05-10T23:32:48Z</dcterms:created>
  <dcterms:modified xsi:type="dcterms:W3CDTF">2026-05-10T23:32:48Z</dcterms:modified>
</cp:coreProperties>
</file>